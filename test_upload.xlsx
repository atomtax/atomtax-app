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lt\Downloads\"/>
    </mc:Choice>
  </mc:AlternateContent>
  <xr:revisionPtr revIDLastSave="0" documentId="13_ncr:1_{5B490B24-93E4-46FE-8E36-837F64A8BC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물건목록" sheetId="1" r:id="rId1"/>
    <sheet name="필요경비상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E9" i="2"/>
  <c r="D15" i="2"/>
  <c r="D9" i="2"/>
</calcChain>
</file>

<file path=xl/sharedStrings.xml><?xml version="1.0" encoding="utf-8"?>
<sst xmlns="http://schemas.openxmlformats.org/spreadsheetml/2006/main" count="148" uniqueCount="37">
  <si>
    <t>📋 물건목록 작성 방법: 사업자번호*와 물건명을 정확히 입력하세요. 취득가액/기타필요경비는 필요경비상세 시트에서 자동 계산됩니다.</t>
  </si>
  <si>
    <t>사업자번호*</t>
  </si>
  <si>
    <t>물건명</t>
  </si>
  <si>
    <t>소재지</t>
  </si>
  <si>
    <t>양도가액</t>
  </si>
  <si>
    <t>취득일(YYYYMMDD)</t>
  </si>
  <si>
    <t>양도일(YYYYMMDD)</t>
  </si>
  <si>
    <t>기납부 종소세</t>
  </si>
  <si>
    <t>기납부 지방소득세</t>
  </si>
  <si>
    <t>85초과(Y/N)</t>
  </si>
  <si>
    <t>N</t>
  </si>
  <si>
    <t/>
  </si>
  <si>
    <t>📋 필요경비 작성 방법: 사업자번호*와 물건명*은 물건목록 시트와 정확히 일치해야 합니다. (복사&amp;붙여넣기 권장). 번호는 자동으로 부여됩니다.</t>
  </si>
  <si>
    <t>물건명* (물건목록과 동일)</t>
  </si>
  <si>
    <t>비용명</t>
  </si>
  <si>
    <t>구분(취득가액/기타필요경비)</t>
  </si>
  <si>
    <t>금액</t>
  </si>
  <si>
    <t>비용인정(O/X)</t>
  </si>
  <si>
    <t>취득가액</t>
  </si>
  <si>
    <t>O</t>
  </si>
  <si>
    <t>X</t>
  </si>
  <si>
    <t>화성 송산그린시티이지더원레이크뷰아파트 210동 1503호</t>
  </si>
  <si>
    <t>김포 힐스테이트 리버시티 1단지 107동 801호</t>
  </si>
  <si>
    <t>대구 하나리움퀸즈파크 109동 301호</t>
  </si>
  <si>
    <t>대구 하나리움퀸즈파크 109동 901호</t>
  </si>
  <si>
    <t>경기도 화성시 수노을1로 191, 210동 15층1503호 (새솔동,송산그린시티이지더원레이크뷰아파트)</t>
  </si>
  <si>
    <t>경기도 김포시 고촌읍 상미로 38, 107동 8층801호 (힐스테이트 리버시티 1단지)</t>
  </si>
  <si>
    <t>대구광역시 달성군 유가읍 테크노북로 164, 109동 3층301호 (하나리움퀸즈파크)</t>
  </si>
  <si>
    <t>대구광역시 달성군 유가읍 테크노북로 164, 109동 9층901호 (하나리움퀸즈파크)</t>
  </si>
  <si>
    <t>841-23-01923</t>
  </si>
  <si>
    <t>N</t>
    <phoneticPr fontId="2" type="noConversion"/>
  </si>
  <si>
    <t>등기비용, 취득세</t>
  </si>
  <si>
    <t>취득중개수수료</t>
  </si>
  <si>
    <t>매도중개수수료</t>
  </si>
  <si>
    <t>신탁해지비용</t>
  </si>
  <si>
    <t>중간관리비&amp;관리비 납부</t>
  </si>
  <si>
    <t>재산세 납부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</si>
</sst>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6">
    <font>
      <sz val="12"/>
      <color theme="1"/>
      <name val="맑은 고딕"/>
      <family val="2"/>
      <scheme val="minor"/>
    </font>
    <font>
      <sz val="11"/>
      <color theme="1"/>
      <name val="Calibri"/>
      <family val="2"/>
    </font>
    <font>
      <sz val="8"/>
      <name val="맑은 고딕"/>
      <family val="3"/>
      <charset val="129"/>
      <scheme val="minor"/>
    </font>
    <font>
      <sz val="12"/>
      <color rgb="FF333333"/>
      <name val="NotoSansKRWeb"/>
    </font>
    <font>
      <sz val="12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7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3" fontId="1" fillId="0" borderId="2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B4" sqref="B4"/>
    </sheetView>
  </sheetViews>
  <sheetFormatPr defaultRowHeight="16.5"/>
  <cols>
    <col min="1" max="1" width="15.77734375" customWidth="1"/>
    <col min="2" max="2" width="25.77734375" customWidth="1"/>
    <col min="3" max="3" width="76.33203125" bestFit="1" customWidth="1"/>
    <col min="4" max="4" width="15.77734375" customWidth="1"/>
    <col min="5" max="6" width="18.77734375" customWidth="1"/>
    <col min="7" max="8" width="15.77734375" customWidth="1"/>
    <col min="9" max="9" width="12.77734375" customWidth="1"/>
    <col min="10" max="10" width="15.77734375" customWidth="1"/>
  </cols>
  <sheetData>
    <row r="1" spans="1:10" ht="17.25">
      <c r="A1" t="s">
        <v>0</v>
      </c>
    </row>
    <row r="3" spans="1:10" ht="17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10" ht="17.25">
      <c r="A4" s="6" t="s">
        <v>29</v>
      </c>
      <c r="B4" s="2" t="s">
        <v>21</v>
      </c>
      <c r="C4" s="2" t="s">
        <v>25</v>
      </c>
      <c r="D4" s="7">
        <v>567000000</v>
      </c>
      <c r="E4" s="1">
        <v>45700</v>
      </c>
      <c r="F4" s="1">
        <v>45859</v>
      </c>
      <c r="G4" s="9">
        <v>20624540</v>
      </c>
      <c r="H4" s="9">
        <v>2062450</v>
      </c>
      <c r="I4" t="s">
        <v>30</v>
      </c>
    </row>
    <row r="5" spans="1:10" ht="17.25">
      <c r="A5" s="6" t="s">
        <v>29</v>
      </c>
      <c r="B5" s="2" t="s">
        <v>22</v>
      </c>
      <c r="C5" s="2" t="s">
        <v>26</v>
      </c>
      <c r="D5" s="7">
        <v>570000000</v>
      </c>
      <c r="E5" s="1">
        <v>45761</v>
      </c>
      <c r="F5" s="1">
        <v>45853</v>
      </c>
      <c r="G5" s="8"/>
      <c r="H5" s="8"/>
      <c r="I5" t="s">
        <v>10</v>
      </c>
    </row>
    <row r="6" spans="1:10" ht="17.25">
      <c r="A6" s="6" t="s">
        <v>29</v>
      </c>
      <c r="B6" s="2" t="s">
        <v>23</v>
      </c>
      <c r="C6" s="2" t="s">
        <v>27</v>
      </c>
      <c r="D6" s="7"/>
      <c r="E6" s="1">
        <v>45988</v>
      </c>
      <c r="F6" s="1"/>
      <c r="I6" t="s">
        <v>10</v>
      </c>
    </row>
    <row r="7" spans="1:10" ht="17.25">
      <c r="A7" s="6" t="s">
        <v>29</v>
      </c>
      <c r="B7" s="2" t="s">
        <v>24</v>
      </c>
      <c r="C7" s="4" t="s">
        <v>28</v>
      </c>
      <c r="D7" s="7"/>
      <c r="E7" s="1">
        <v>45988</v>
      </c>
      <c r="F7" s="1"/>
      <c r="G7" t="s">
        <v>11</v>
      </c>
      <c r="H7" t="s">
        <v>11</v>
      </c>
      <c r="I7" t="s">
        <v>11</v>
      </c>
      <c r="J7" t="s">
        <v>11</v>
      </c>
    </row>
    <row r="8" spans="1:10" ht="17.25">
      <c r="B8" s="3"/>
      <c r="C8" s="5"/>
    </row>
  </sheetData>
  <phoneticPr fontId="2" type="noConversion"/>
  <pageMargins left="0.7" right="0.7" top="0.75" bottom="0.75" header="0.3" footer="0.3"/>
  <ignoredErrors>
    <ignoredError sqref="A1:J2 G7:J7 I5 A3:I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B25" sqref="B25:B31"/>
    </sheetView>
  </sheetViews>
  <sheetFormatPr defaultRowHeight="16.5"/>
  <cols>
    <col min="1" max="1" width="15.77734375" customWidth="1"/>
    <col min="2" max="2" width="25.77734375" customWidth="1"/>
    <col min="3" max="3" width="20.77734375" customWidth="1"/>
    <col min="4" max="4" width="28.77734375" customWidth="1"/>
    <col min="5" max="6" width="15.77734375" customWidth="1"/>
  </cols>
  <sheetData>
    <row r="1" spans="1:6" ht="17.25">
      <c r="A1" t="s">
        <v>12</v>
      </c>
    </row>
    <row r="3" spans="1:6" ht="17.25">
      <c r="A3" t="s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ht="17.25">
      <c r="A4" s="6" t="s">
        <v>29</v>
      </c>
      <c r="B4" s="2" t="s">
        <v>21</v>
      </c>
      <c r="C4" s="2" t="s">
        <v>18</v>
      </c>
      <c r="D4" s="10">
        <v>492260000</v>
      </c>
      <c r="E4" s="10">
        <v>492260000</v>
      </c>
      <c r="F4" s="2" t="s">
        <v>19</v>
      </c>
    </row>
    <row r="5" spans="1:6" ht="17.25">
      <c r="A5" s="6" t="s">
        <v>29</v>
      </c>
      <c r="B5" s="2" t="s">
        <v>21</v>
      </c>
      <c r="C5" s="2" t="s">
        <v>31</v>
      </c>
      <c r="D5" s="7">
        <v>7093032</v>
      </c>
      <c r="E5" s="7">
        <v>7093032</v>
      </c>
      <c r="F5" s="2" t="s">
        <v>19</v>
      </c>
    </row>
    <row r="6" spans="1:6" ht="17.25">
      <c r="A6" s="6" t="s">
        <v>29</v>
      </c>
      <c r="B6" s="2" t="s">
        <v>21</v>
      </c>
      <c r="C6" s="2" t="s">
        <v>32</v>
      </c>
      <c r="D6" s="7"/>
      <c r="E6" s="7"/>
      <c r="F6" s="2" t="s">
        <v>19</v>
      </c>
    </row>
    <row r="7" spans="1:6" ht="17.25">
      <c r="A7" s="6" t="s">
        <v>29</v>
      </c>
      <c r="B7" s="2" t="s">
        <v>21</v>
      </c>
      <c r="C7" s="2" t="s">
        <v>33</v>
      </c>
      <c r="D7" s="7">
        <v>2494800</v>
      </c>
      <c r="E7" s="7">
        <v>2494800</v>
      </c>
      <c r="F7" s="2" t="s">
        <v>19</v>
      </c>
    </row>
    <row r="8" spans="1:6" ht="17.25">
      <c r="A8" s="6" t="s">
        <v>29</v>
      </c>
      <c r="B8" s="2" t="s">
        <v>21</v>
      </c>
      <c r="C8" s="2" t="s">
        <v>34</v>
      </c>
      <c r="D8" s="7">
        <v>300000</v>
      </c>
      <c r="E8" s="7">
        <v>300000</v>
      </c>
      <c r="F8" s="2" t="s">
        <v>19</v>
      </c>
    </row>
    <row r="9" spans="1:6" ht="17.25">
      <c r="A9" s="6" t="s">
        <v>29</v>
      </c>
      <c r="B9" s="2" t="s">
        <v>21</v>
      </c>
      <c r="C9" s="2" t="s">
        <v>35</v>
      </c>
      <c r="D9" s="7">
        <f>3168840+280720</f>
        <v>3449560</v>
      </c>
      <c r="E9" s="7">
        <f>3168840+280720</f>
        <v>3449560</v>
      </c>
      <c r="F9" s="11" t="s">
        <v>20</v>
      </c>
    </row>
    <row r="10" spans="1:6" ht="17.25">
      <c r="A10" s="6" t="s">
        <v>29</v>
      </c>
      <c r="B10" s="2" t="s">
        <v>21</v>
      </c>
      <c r="C10" s="2" t="s">
        <v>36</v>
      </c>
      <c r="D10" s="7">
        <v>364090</v>
      </c>
      <c r="E10" s="7">
        <v>364090</v>
      </c>
      <c r="F10" s="11" t="s">
        <v>20</v>
      </c>
    </row>
    <row r="11" spans="1:6" ht="17.25">
      <c r="A11" s="6" t="s">
        <v>29</v>
      </c>
      <c r="B11" s="2" t="s">
        <v>22</v>
      </c>
      <c r="C11" s="2" t="s">
        <v>18</v>
      </c>
      <c r="D11" s="10">
        <v>521000000</v>
      </c>
      <c r="E11" s="10">
        <v>521000000</v>
      </c>
      <c r="F11" s="2" t="s">
        <v>19</v>
      </c>
    </row>
    <row r="12" spans="1:6" ht="17.25">
      <c r="A12" s="6" t="s">
        <v>29</v>
      </c>
      <c r="B12" s="2" t="s">
        <v>22</v>
      </c>
      <c r="C12" s="2" t="s">
        <v>31</v>
      </c>
      <c r="D12" s="7">
        <v>8152610</v>
      </c>
      <c r="E12" s="7">
        <v>8152610</v>
      </c>
      <c r="F12" s="2" t="s">
        <v>19</v>
      </c>
    </row>
    <row r="13" spans="1:6" ht="17.25">
      <c r="A13" s="6" t="s">
        <v>29</v>
      </c>
      <c r="B13" s="2" t="s">
        <v>22</v>
      </c>
      <c r="C13" s="2" t="s">
        <v>32</v>
      </c>
      <c r="D13" s="7"/>
      <c r="E13" s="7"/>
      <c r="F13" s="2" t="s">
        <v>19</v>
      </c>
    </row>
    <row r="14" spans="1:6" ht="17.25">
      <c r="A14" s="6" t="s">
        <v>29</v>
      </c>
      <c r="B14" s="2" t="s">
        <v>22</v>
      </c>
      <c r="C14" s="2" t="s">
        <v>33</v>
      </c>
      <c r="D14" s="7">
        <v>2508000</v>
      </c>
      <c r="E14" s="7">
        <v>2508000</v>
      </c>
      <c r="F14" s="2" t="s">
        <v>19</v>
      </c>
    </row>
    <row r="15" spans="1:6" ht="17.25">
      <c r="A15" s="6" t="s">
        <v>29</v>
      </c>
      <c r="B15" s="2" t="s">
        <v>22</v>
      </c>
      <c r="C15" s="2" t="s">
        <v>35</v>
      </c>
      <c r="D15" s="7">
        <f>3247350+396290</f>
        <v>3643640</v>
      </c>
      <c r="E15" s="7">
        <f>3247350+396290</f>
        <v>3643640</v>
      </c>
      <c r="F15" s="11" t="s">
        <v>20</v>
      </c>
    </row>
    <row r="16" spans="1:6" ht="17.25">
      <c r="A16" s="6" t="s">
        <v>29</v>
      </c>
      <c r="B16" s="2" t="s">
        <v>22</v>
      </c>
      <c r="C16" s="2" t="s">
        <v>36</v>
      </c>
      <c r="D16" s="7">
        <v>413830</v>
      </c>
      <c r="E16" s="7">
        <v>413830</v>
      </c>
      <c r="F16" s="11" t="s">
        <v>20</v>
      </c>
    </row>
    <row r="17" spans="1:6" ht="17.25">
      <c r="A17" s="6" t="s">
        <v>29</v>
      </c>
      <c r="B17" s="2" t="s">
        <v>22</v>
      </c>
      <c r="C17" s="2" t="s">
        <v>34</v>
      </c>
      <c r="D17" s="7">
        <v>150000</v>
      </c>
      <c r="E17" s="7">
        <v>150000</v>
      </c>
      <c r="F17" s="11" t="s">
        <v>19</v>
      </c>
    </row>
    <row r="18" spans="1:6" ht="17.25">
      <c r="A18" s="6" t="s">
        <v>29</v>
      </c>
      <c r="B18" s="2" t="s">
        <v>23</v>
      </c>
      <c r="C18" s="2" t="s">
        <v>18</v>
      </c>
      <c r="D18" s="10">
        <v>127990000</v>
      </c>
      <c r="E18" s="10">
        <v>127990000</v>
      </c>
      <c r="F18" s="2" t="s">
        <v>19</v>
      </c>
    </row>
    <row r="19" spans="1:6" ht="17.25">
      <c r="A19" s="6" t="s">
        <v>29</v>
      </c>
      <c r="B19" s="2" t="s">
        <v>23</v>
      </c>
      <c r="C19" s="2" t="s">
        <v>31</v>
      </c>
      <c r="D19" s="7">
        <v>1858490</v>
      </c>
      <c r="E19" s="7">
        <v>1858490</v>
      </c>
      <c r="F19" s="2" t="s">
        <v>19</v>
      </c>
    </row>
    <row r="20" spans="1:6" ht="17.25">
      <c r="A20" s="6" t="s">
        <v>29</v>
      </c>
      <c r="B20" s="2" t="s">
        <v>23</v>
      </c>
      <c r="C20" s="2" t="s">
        <v>32</v>
      </c>
      <c r="D20" s="7"/>
      <c r="E20" s="7"/>
      <c r="F20" s="2" t="s">
        <v>19</v>
      </c>
    </row>
    <row r="21" spans="1:6" ht="17.25">
      <c r="A21" s="6" t="s">
        <v>29</v>
      </c>
      <c r="B21" s="2" t="s">
        <v>23</v>
      </c>
      <c r="C21" s="2" t="s">
        <v>33</v>
      </c>
      <c r="D21" s="7"/>
      <c r="E21" s="7"/>
      <c r="F21" s="2" t="s">
        <v>19</v>
      </c>
    </row>
    <row r="22" spans="1:6" ht="17.25">
      <c r="A22" s="6" t="s">
        <v>29</v>
      </c>
      <c r="B22" s="2" t="s">
        <v>23</v>
      </c>
      <c r="C22" s="2" t="s">
        <v>35</v>
      </c>
      <c r="D22" s="7"/>
      <c r="E22" s="7"/>
      <c r="F22" s="11" t="s">
        <v>20</v>
      </c>
    </row>
    <row r="23" spans="1:6" ht="17.25">
      <c r="A23" s="6" t="s">
        <v>29</v>
      </c>
      <c r="B23" s="2" t="s">
        <v>23</v>
      </c>
      <c r="C23" s="2" t="s">
        <v>36</v>
      </c>
      <c r="D23" s="7"/>
      <c r="E23" s="7"/>
      <c r="F23" s="11" t="s">
        <v>20</v>
      </c>
    </row>
    <row r="24" spans="1:6" ht="17.25">
      <c r="A24" s="6" t="s">
        <v>29</v>
      </c>
      <c r="B24" s="2" t="s">
        <v>23</v>
      </c>
      <c r="C24" s="2" t="s">
        <v>34</v>
      </c>
      <c r="D24" s="7"/>
      <c r="E24" s="7"/>
      <c r="F24" s="11" t="s">
        <v>19</v>
      </c>
    </row>
    <row r="25" spans="1:6" ht="17.25">
      <c r="A25" s="6" t="s">
        <v>29</v>
      </c>
      <c r="B25" s="2" t="s">
        <v>24</v>
      </c>
      <c r="C25" s="2" t="s">
        <v>18</v>
      </c>
      <c r="D25" s="10">
        <v>132870410</v>
      </c>
      <c r="E25" s="10">
        <v>132870410</v>
      </c>
      <c r="F25" s="2" t="s">
        <v>19</v>
      </c>
    </row>
    <row r="26" spans="1:6" ht="17.25">
      <c r="A26" s="6" t="s">
        <v>29</v>
      </c>
      <c r="B26" s="2" t="s">
        <v>24</v>
      </c>
      <c r="C26" s="2" t="s">
        <v>31</v>
      </c>
      <c r="D26" s="7">
        <v>1873170</v>
      </c>
      <c r="E26" s="7">
        <v>1873170</v>
      </c>
      <c r="F26" s="2" t="s">
        <v>19</v>
      </c>
    </row>
    <row r="27" spans="1:6" ht="17.25">
      <c r="A27" s="6" t="s">
        <v>29</v>
      </c>
      <c r="B27" s="2" t="s">
        <v>24</v>
      </c>
      <c r="C27" s="2" t="s">
        <v>32</v>
      </c>
      <c r="D27" s="7"/>
      <c r="E27" s="7"/>
      <c r="F27" s="2" t="s">
        <v>19</v>
      </c>
    </row>
    <row r="28" spans="1:6" ht="17.25">
      <c r="A28" s="6" t="s">
        <v>29</v>
      </c>
      <c r="B28" s="2" t="s">
        <v>24</v>
      </c>
      <c r="C28" s="2" t="s">
        <v>33</v>
      </c>
      <c r="D28" s="7"/>
      <c r="E28" s="7"/>
      <c r="F28" s="2" t="s">
        <v>19</v>
      </c>
    </row>
    <row r="29" spans="1:6" ht="17.25">
      <c r="A29" s="6" t="s">
        <v>29</v>
      </c>
      <c r="B29" s="2" t="s">
        <v>24</v>
      </c>
      <c r="C29" s="2" t="s">
        <v>35</v>
      </c>
      <c r="D29" s="7"/>
      <c r="E29" s="7"/>
      <c r="F29" s="11" t="s">
        <v>20</v>
      </c>
    </row>
    <row r="30" spans="1:6" ht="17.25">
      <c r="A30" s="6" t="s">
        <v>29</v>
      </c>
      <c r="B30" s="2" t="s">
        <v>24</v>
      </c>
      <c r="C30" s="2" t="s">
        <v>36</v>
      </c>
      <c r="D30" s="7"/>
      <c r="E30" s="7"/>
      <c r="F30" s="11" t="s">
        <v>20</v>
      </c>
    </row>
    <row r="31" spans="1:6" ht="17.25">
      <c r="A31" s="6" t="s">
        <v>29</v>
      </c>
      <c r="B31" s="2" t="s">
        <v>24</v>
      </c>
      <c r="C31" s="2" t="s">
        <v>34</v>
      </c>
      <c r="D31" s="7"/>
      <c r="E31" s="7"/>
      <c r="F31" s="11" t="s">
        <v>19</v>
      </c>
    </row>
  </sheetData>
  <phoneticPr fontId="2" type="noConversion"/>
  <pageMargins left="0.7" right="0.7" top="0.75" bottom="0.75" header="0.3" footer="0.3"/>
  <ignoredErrors>
    <ignoredError sqref="A1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물건목록</vt:lpstr>
      <vt:lpstr>필요경비상세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경태 김</cp:lastModifiedBy>
  <dcterms:modified xsi:type="dcterms:W3CDTF">2026-01-30T01:03:47Z</dcterms:modified>
</cp:coreProperties>
</file>