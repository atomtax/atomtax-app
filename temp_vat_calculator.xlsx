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공유 드라이브\아톰세무회계 공유드라이브\1. 기장\0. 기장관련 자료 모음집\"/>
    </mc:Choice>
  </mc:AlternateContent>
  <xr:revisionPtr revIDLastSave="0" documentId="13_ncr:1_{7DBE58F2-FC5D-456F-8210-16E2C384B4A0}" xr6:coauthVersionLast="47" xr6:coauthVersionMax="47" xr10:uidLastSave="{00000000-0000-0000-0000-000000000000}"/>
  <bookViews>
    <workbookView xWindow="28680" yWindow="-120" windowWidth="29040" windowHeight="15720" xr2:uid="{C0C57873-9E04-4DCC-AC72-9154A666FC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34" i="1"/>
  <c r="B12" i="1"/>
  <c r="C18" i="1" l="1"/>
  <c r="C19" i="1" s="1"/>
  <c r="B19" i="1"/>
</calcChain>
</file>

<file path=xl/sharedStrings.xml><?xml version="1.0" encoding="utf-8"?>
<sst xmlns="http://schemas.openxmlformats.org/spreadsheetml/2006/main" count="31" uniqueCount="26">
  <si>
    <t>부가가치세 계산기</t>
    <phoneticPr fontId="1" type="noConversion"/>
  </si>
  <si>
    <t>[기본정보]</t>
    <phoneticPr fontId="1" type="noConversion"/>
  </si>
  <si>
    <t>물건 위치</t>
    <phoneticPr fontId="1" type="noConversion"/>
  </si>
  <si>
    <t>구 분</t>
    <phoneticPr fontId="1" type="noConversion"/>
  </si>
  <si>
    <t>내용</t>
    <phoneticPr fontId="1" type="noConversion"/>
  </si>
  <si>
    <t>비고</t>
    <phoneticPr fontId="1" type="noConversion"/>
  </si>
  <si>
    <t>토지공시지가(m2)</t>
    <phoneticPr fontId="1" type="noConversion"/>
  </si>
  <si>
    <t>토지가액</t>
    <phoneticPr fontId="1" type="noConversion"/>
  </si>
  <si>
    <t>건물가액</t>
    <phoneticPr fontId="1" type="noConversion"/>
  </si>
  <si>
    <t>건물기준시가 계산</t>
    <phoneticPr fontId="1" type="noConversion"/>
  </si>
  <si>
    <t>건축물대장 상 전유부 + 공유부 모두 포함</t>
    <phoneticPr fontId="1" type="noConversion"/>
  </si>
  <si>
    <t>매도예상가</t>
    <phoneticPr fontId="1" type="noConversion"/>
  </si>
  <si>
    <t>개별공시지가 검색</t>
    <phoneticPr fontId="1" type="noConversion"/>
  </si>
  <si>
    <t>[토지/건물가액]</t>
    <phoneticPr fontId="1" type="noConversion"/>
  </si>
  <si>
    <t>[부가가치세 금액 계산]</t>
    <phoneticPr fontId="1" type="noConversion"/>
  </si>
  <si>
    <t>구분</t>
    <phoneticPr fontId="1" type="noConversion"/>
  </si>
  <si>
    <t>부가가치세 시가</t>
    <phoneticPr fontId="1" type="noConversion"/>
  </si>
  <si>
    <t>매매가에 vat 포함</t>
    <phoneticPr fontId="1" type="noConversion"/>
  </si>
  <si>
    <t>매매가에 vat 미포함</t>
    <phoneticPr fontId="1" type="noConversion"/>
  </si>
  <si>
    <t>일반적으로 매매가에 vat 포함하여 매도자가 부담</t>
    <phoneticPr fontId="1" type="noConversion"/>
  </si>
  <si>
    <t>부가가치세 최저가(70%)</t>
    <phoneticPr fontId="1" type="noConversion"/>
  </si>
  <si>
    <t>시가와 30%까지 차이나게 계상 가능(실제 부가세 납부액)</t>
    <phoneticPr fontId="1" type="noConversion"/>
  </si>
  <si>
    <r>
      <t xml:space="preserve">* </t>
    </r>
    <r>
      <rPr>
        <b/>
        <sz val="11"/>
        <color theme="9" tint="-0.249977111117893"/>
        <rFont val="맑은 고딕"/>
        <family val="3"/>
        <charset val="129"/>
        <scheme val="minor"/>
      </rPr>
      <t>녹색칸 입력</t>
    </r>
    <r>
      <rPr>
        <sz val="11"/>
        <color theme="1"/>
        <rFont val="맑은 고딕"/>
        <family val="2"/>
        <charset val="129"/>
        <scheme val="minor"/>
      </rPr>
      <t xml:space="preserve"> 시 자동계산</t>
    </r>
    <phoneticPr fontId="1" type="noConversion"/>
  </si>
  <si>
    <t>* 부가가치세 안분계산 안내문 참고하여 함께 계산(클릭시 이동)</t>
    <phoneticPr fontId="1" type="noConversion"/>
  </si>
  <si>
    <t>건물 연면적(m2)</t>
    <phoneticPr fontId="1" type="noConversion"/>
  </si>
  <si>
    <t>토지면적(대지권)(m2)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</si>
</sst>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9" tint="-0.249977111117893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76" fontId="0" fillId="2" borderId="1" xfId="0" applyNumberFormat="1" applyFill="1" applyBorder="1">
      <alignment vertical="center"/>
    </xf>
    <xf numFmtId="0" fontId="3" fillId="0" borderId="1" xfId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10</xdr:col>
      <xdr:colOff>409575</xdr:colOff>
      <xdr:row>28</xdr:row>
      <xdr:rowOff>113071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99BDE97-E96C-484F-5448-97AD712EA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63125" y="628650"/>
          <a:ext cx="4524375" cy="53518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cy-hemisphere-35b.notion.site/1b4ca11866ce801d8129cd0789737bf6?pvs=4" TargetMode="External"/><Relationship Id="rId2" Type="http://schemas.openxmlformats.org/officeDocument/2006/relationships/hyperlink" Target="https://www.realtyprice.kr/notice/gsindividual/siteLink.htm" TargetMode="External"/><Relationship Id="rId1" Type="http://schemas.openxmlformats.org/officeDocument/2006/relationships/hyperlink" Target="https://&#48512;&#46041;&#49328;&#44228;&#49328;&#44592;.com/%EA%B1%B4%EB%AC%BC%EA%B8%B0%EC%A4%80%EC%8B%9C%EA%B0%80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082CF-451C-445A-8ACA-5A2445928CCD}">
  <dimension ref="A1:D34"/>
  <sheetViews>
    <sheetView tabSelected="1" workbookViewId="0">
      <selection activeCell="D13" sqref="D13"/>
    </sheetView>
  </sheetViews>
  <sheetFormatPr defaultRowHeight="16.5" x14ac:dyDescent="0.3"/>
  <cols>
    <col min="1" max="1" width="23.25" bestFit="1" customWidth="1"/>
    <col min="2" max="2" width="26.125" customWidth="1"/>
    <col min="3" max="3" width="24.875" customWidth="1"/>
    <col min="4" max="4" width="53.875" bestFit="1" customWidth="1"/>
  </cols>
  <sheetData>
    <row r="1" spans="1:4" x14ac:dyDescent="0.3">
      <c r="A1" s="9" t="s">
        <v>0</v>
      </c>
    </row>
    <row r="2" spans="1:4" x14ac:dyDescent="0.3">
      <c r="A2" s="1" t="s">
        <v>1</v>
      </c>
    </row>
    <row r="3" spans="1:4" x14ac:dyDescent="0.3">
      <c r="A3" s="8" t="s">
        <v>3</v>
      </c>
      <c r="B3" s="8" t="s">
        <v>4</v>
      </c>
      <c r="C3" s="8" t="s">
        <v>5</v>
      </c>
    </row>
    <row r="4" spans="1:4" x14ac:dyDescent="0.3">
      <c r="A4" s="3" t="s">
        <v>2</v>
      </c>
      <c r="B4" s="5"/>
      <c r="C4" s="3"/>
    </row>
    <row r="5" spans="1:4" x14ac:dyDescent="0.3">
      <c r="A5" s="3" t="s">
        <v>24</v>
      </c>
      <c r="B5" s="5">
        <v>242.8263</v>
      </c>
      <c r="C5" s="3" t="s">
        <v>10</v>
      </c>
    </row>
    <row r="6" spans="1:4" x14ac:dyDescent="0.3">
      <c r="A6" s="3" t="s">
        <v>25</v>
      </c>
      <c r="B6" s="5">
        <v>21.751200000000001</v>
      </c>
      <c r="C6" s="3"/>
    </row>
    <row r="7" spans="1:4" x14ac:dyDescent="0.3">
      <c r="A7" s="3" t="s">
        <v>11</v>
      </c>
      <c r="B7" s="6">
        <v>740000000</v>
      </c>
      <c r="C7" s="3"/>
    </row>
    <row r="9" spans="1:4" x14ac:dyDescent="0.3">
      <c r="A9" s="1" t="s">
        <v>13</v>
      </c>
    </row>
    <row r="10" spans="1:4" x14ac:dyDescent="0.3">
      <c r="A10" s="8" t="s">
        <v>15</v>
      </c>
      <c r="B10" s="8" t="s">
        <v>4</v>
      </c>
      <c r="C10" s="8" t="s">
        <v>5</v>
      </c>
    </row>
    <row r="11" spans="1:4" x14ac:dyDescent="0.3">
      <c r="A11" s="3" t="s">
        <v>6</v>
      </c>
      <c r="B11" s="6">
        <v>3553000</v>
      </c>
      <c r="C11" s="7" t="s">
        <v>12</v>
      </c>
    </row>
    <row r="12" spans="1:4" x14ac:dyDescent="0.3">
      <c r="A12" s="3" t="s">
        <v>7</v>
      </c>
      <c r="B12" s="4">
        <f>B11*B6</f>
        <v>77282013.600000009</v>
      </c>
      <c r="C12" s="3"/>
    </row>
    <row r="13" spans="1:4" x14ac:dyDescent="0.3">
      <c r="A13" s="3" t="s">
        <v>8</v>
      </c>
      <c r="B13" s="6">
        <v>213601669</v>
      </c>
      <c r="C13" s="7" t="s">
        <v>9</v>
      </c>
    </row>
    <row r="15" spans="1:4" x14ac:dyDescent="0.3">
      <c r="A15" s="1" t="s">
        <v>14</v>
      </c>
    </row>
    <row r="16" spans="1:4" x14ac:dyDescent="0.3">
      <c r="A16" s="10" t="s">
        <v>15</v>
      </c>
      <c r="B16" s="10" t="s">
        <v>4</v>
      </c>
      <c r="C16" s="10"/>
      <c r="D16" s="10" t="s">
        <v>5</v>
      </c>
    </row>
    <row r="17" spans="1:4" x14ac:dyDescent="0.3">
      <c r="A17" s="10"/>
      <c r="B17" s="8" t="s">
        <v>17</v>
      </c>
      <c r="C17" s="8" t="s">
        <v>18</v>
      </c>
      <c r="D17" s="10"/>
    </row>
    <row r="18" spans="1:4" x14ac:dyDescent="0.3">
      <c r="A18" s="3" t="s">
        <v>16</v>
      </c>
      <c r="B18" s="4">
        <f>B7*B13/(B12+B13*110/100)*0.1</f>
        <v>50622369.44398164</v>
      </c>
      <c r="C18" s="4">
        <f>B7*B13/(B12+B13)*0.1</f>
        <v>54339670.636444286</v>
      </c>
      <c r="D18" s="3" t="s">
        <v>19</v>
      </c>
    </row>
    <row r="19" spans="1:4" x14ac:dyDescent="0.3">
      <c r="A19" s="3" t="s">
        <v>20</v>
      </c>
      <c r="B19" s="4">
        <f>B18*0.7</f>
        <v>35435658.610787146</v>
      </c>
      <c r="C19" s="4">
        <f>C18*0.7</f>
        <v>38037769.445510998</v>
      </c>
      <c r="D19" s="3" t="s">
        <v>21</v>
      </c>
    </row>
    <row r="21" spans="1:4" x14ac:dyDescent="0.3">
      <c r="A21" t="s">
        <v>22</v>
      </c>
    </row>
    <row r="22" spans="1:4" x14ac:dyDescent="0.3">
      <c r="A22" s="2" t="s">
        <v>23</v>
      </c>
    </row>
    <row r="26" spans="1:4" x14ac:dyDescent="0.3">
      <c r="B26">
        <v>120.4817</v>
      </c>
    </row>
    <row r="27" spans="1:4" x14ac:dyDescent="0.3">
      <c r="B27">
        <v>73.519800000000004</v>
      </c>
    </row>
    <row r="28" spans="1:4" x14ac:dyDescent="0.3">
      <c r="B28">
        <v>0.1774</v>
      </c>
    </row>
    <row r="29" spans="1:4" x14ac:dyDescent="0.3">
      <c r="B29">
        <v>35.106699999999996</v>
      </c>
    </row>
    <row r="30" spans="1:4" x14ac:dyDescent="0.3">
      <c r="B30">
        <v>7.0393999999999997</v>
      </c>
    </row>
    <row r="31" spans="1:4" x14ac:dyDescent="0.3">
      <c r="B31">
        <v>1.8205</v>
      </c>
    </row>
    <row r="32" spans="1:4" x14ac:dyDescent="0.3">
      <c r="B32">
        <v>0.45150000000000001</v>
      </c>
    </row>
    <row r="33" spans="2:2" x14ac:dyDescent="0.3">
      <c r="B33">
        <v>4.2293000000000003</v>
      </c>
    </row>
    <row r="34" spans="2:2" x14ac:dyDescent="0.3">
      <c r="B34">
        <f>SUM(B26:B33)</f>
        <v>242.82630000000003</v>
      </c>
    </row>
  </sheetData>
  <mergeCells count="3">
    <mergeCell ref="B16:C16"/>
    <mergeCell ref="A16:A17"/>
    <mergeCell ref="D16:D17"/>
  </mergeCells>
  <phoneticPr fontId="1" type="noConversion"/>
  <hyperlinks>
    <hyperlink ref="C13" r:id="rId1" xr:uid="{EEFC1EE3-9B6E-42E1-89DF-A3C2830D2738}"/>
    <hyperlink ref="C11" r:id="rId2" xr:uid="{993C7FC2-C8CC-42BC-88AF-7DEEBC91D42C}"/>
    <hyperlink ref="A22" r:id="rId3" display="* 부가가치세 안분계산 안내문 참고하여 함께 계산" xr:uid="{7727B07B-DDFF-44C0-9C26-2D6CB594A22C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경태 김</dc:creator>
  <cp:lastModifiedBy>경태 김</cp:lastModifiedBy>
  <dcterms:created xsi:type="dcterms:W3CDTF">2025-03-19T12:41:46Z</dcterms:created>
  <dcterms:modified xsi:type="dcterms:W3CDTF">2025-07-21T07:35:40Z</dcterms:modified>
</cp:coreProperties>
</file>